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nthi.M\Downloads\"/>
    </mc:Choice>
  </mc:AlternateContent>
  <xr:revisionPtr revIDLastSave="0" documentId="8_{1901990D-7A54-4064-855A-E41C325F2E85}" xr6:coauthVersionLast="47" xr6:coauthVersionMax="47" xr10:uidLastSave="{00000000-0000-0000-0000-000000000000}"/>
  <bookViews>
    <workbookView xWindow="-108" yWindow="-108" windowWidth="23256" windowHeight="12456" xr2:uid="{B492EF91-CFD4-4D91-B755-085EE835F71E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F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H2" i="2"/>
  <c r="H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<sst xmlns="http://schemas.openxmlformats.org/spreadsheetml/2006/main" count="9" uniqueCount="8">
  <si>
    <t>ticket_id</t>
  </si>
  <si>
    <t>created_at</t>
  </si>
  <si>
    <t>closed_at</t>
  </si>
  <si>
    <t>outlet_id</t>
  </si>
  <si>
    <t>cms_id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</si>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</sst>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FAF6-D918-4D01-B155-A6811267C255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8743-62DC-476E-88C6-6F0A695B0915}">
  <dimension ref="A1:H23"/>
  <sheetViews>
    <sheetView workbookViewId="0">
      <selection activeCell="H2" sqref="H2"/>
    </sheetView>
  </sheetViews>
  <sheetFormatPr defaultRowHeight="14.4" x14ac:dyDescent="0.3"/>
  <cols>
    <col min="1" max="1" width="28.109375" customWidth="1"/>
    <col min="2" max="2" width="24.109375" customWidth="1"/>
    <col min="3" max="3" width="21.5546875" customWidth="1"/>
    <col min="4" max="4" width="24.44140625" customWidth="1"/>
    <col min="5" max="5" width="33.33203125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</row>
    <row r="2" spans="1:8" x14ac:dyDescent="0.3">
      <c r="D2" t="str">
        <f>IFERROR(INDEX(ticket!$B:$B, MATCH($A2, ticket!$E:$E, 0)), "")</f>
        <v/>
      </c>
      <c r="F2">
        <f>IF(INT($B2)=INT($C2), 1, 0)</f>
        <v>1</v>
      </c>
      <c r="G2">
        <f>IF(AND(INT($B2)=INT($C2), HOUR($B2)=HOUR($C2)), 1, 0)</f>
        <v>1</v>
      </c>
      <c r="H2" cm="1">
        <f t="array" aca="1" ref="H2" ca="1">SUMPRODUCT(--(ticket!$D$2:$D$1000=$H2), --(INT(ticket!$B$2:$B$1000)=INT(ticket!$C$2:$C$1000)))</f>
        <v>0</v>
      </c>
    </row>
    <row r="3" spans="1:8" x14ac:dyDescent="0.3">
      <c r="D3" t="str">
        <f>IFERROR(INDEX(ticket!$B:$B, MATCH($A3, ticket!$E:$E, 0)), "")</f>
        <v/>
      </c>
    </row>
    <row r="4" spans="1:8" x14ac:dyDescent="0.3">
      <c r="D4" t="str">
        <f>IFERROR(INDEX(ticket!$B:$B, MATCH($A4, ticket!$E:$E, 0)), "")</f>
        <v/>
      </c>
    </row>
    <row r="5" spans="1:8" x14ac:dyDescent="0.3">
      <c r="D5" t="str">
        <f>IFERROR(INDEX(ticket!$B:$B, MATCH($A5, ticket!$E:$E, 0)), "")</f>
        <v/>
      </c>
    </row>
    <row r="6" spans="1:8" x14ac:dyDescent="0.3">
      <c r="D6" t="str">
        <f>IFERROR(INDEX(ticket!$B:$B, MATCH($A6, ticket!$E:$E, 0)), "")</f>
        <v/>
      </c>
    </row>
    <row r="7" spans="1:8" x14ac:dyDescent="0.3">
      <c r="D7" t="str">
        <f>IFERROR(INDEX(ticket!$B:$B, MATCH($A7, ticket!$E:$E, 0)), "")</f>
        <v/>
      </c>
    </row>
    <row r="8" spans="1:8" x14ac:dyDescent="0.3">
      <c r="D8" t="str">
        <f>IFERROR(INDEX(ticket!$B:$B, MATCH($A8, ticket!$E:$E, 0)), "")</f>
        <v/>
      </c>
    </row>
    <row r="9" spans="1:8" x14ac:dyDescent="0.3">
      <c r="D9" t="str">
        <f>IFERROR(INDEX(ticket!$B:$B, MATCH($A9, ticket!$E:$E, 0)), "")</f>
        <v/>
      </c>
    </row>
    <row r="10" spans="1:8" x14ac:dyDescent="0.3">
      <c r="D10" t="str">
        <f>IFERROR(INDEX(ticket!$B:$B, MATCH($A10, ticket!$E:$E, 0)), "")</f>
        <v/>
      </c>
    </row>
    <row r="11" spans="1:8" x14ac:dyDescent="0.3">
      <c r="D11" t="str">
        <f>IFERROR(INDEX(ticket!$B:$B, MATCH($A11, ticket!$E:$E, 0)), "")</f>
        <v/>
      </c>
    </row>
    <row r="12" spans="1:8" x14ac:dyDescent="0.3">
      <c r="D12" t="str">
        <f>IFERROR(INDEX(ticket!$B:$B, MATCH($A12, ticket!$E:$E, 0)), "")</f>
        <v/>
      </c>
    </row>
    <row r="13" spans="1:8" x14ac:dyDescent="0.3">
      <c r="D13" t="str">
        <f>IFERROR(INDEX(ticket!$B:$B, MATCH($A13, ticket!$E:$E, 0)), "")</f>
        <v/>
      </c>
    </row>
    <row r="14" spans="1:8" x14ac:dyDescent="0.3">
      <c r="D14" t="str">
        <f>IFERROR(INDEX(ticket!$B:$B, MATCH($A14, ticket!$E:$E, 0)), "")</f>
        <v/>
      </c>
    </row>
    <row r="15" spans="1:8" x14ac:dyDescent="0.3">
      <c r="D15" t="str">
        <f>IFERROR(INDEX(ticket!$B:$B, MATCH($A15, ticket!$E:$E, 0)), "")</f>
        <v/>
      </c>
    </row>
    <row r="16" spans="1:8" x14ac:dyDescent="0.3">
      <c r="D16" t="str">
        <f>IFERROR(INDEX(ticket!$B:$B, MATCH($A16, ticket!$E:$E, 0)), "")</f>
        <v/>
      </c>
    </row>
    <row r="17" spans="4:4" x14ac:dyDescent="0.3">
      <c r="D17" t="str">
        <f>IFERROR(INDEX(ticket!$B:$B, MATCH($A17, ticket!$E:$E, 0)), "")</f>
        <v/>
      </c>
    </row>
    <row r="18" spans="4:4" x14ac:dyDescent="0.3">
      <c r="D18" t="str">
        <f>IFERROR(INDEX(ticket!$B:$B, MATCH($A18, ticket!$E:$E, 0)), "")</f>
        <v/>
      </c>
    </row>
    <row r="19" spans="4:4" x14ac:dyDescent="0.3">
      <c r="D19" t="str">
        <f>IFERROR(INDEX(ticket!$B:$B, MATCH($A19, ticket!$E:$E, 0)), "")</f>
        <v/>
      </c>
    </row>
    <row r="20" spans="4:4" x14ac:dyDescent="0.3">
      <c r="D20" t="str">
        <f>IFERROR(INDEX(ticket!$B:$B, MATCH($A20, ticket!$E:$E, 0)), "")</f>
        <v/>
      </c>
    </row>
    <row r="21" spans="4:4" x14ac:dyDescent="0.3">
      <c r="D21" t="str">
        <f>IFERROR(INDEX(ticket!$B:$B, MATCH($A21, ticket!$E:$E, 0)), "")</f>
        <v/>
      </c>
    </row>
    <row r="22" spans="4:4" x14ac:dyDescent="0.3">
      <c r="D22" t="str">
        <f>IFERROR(INDEX(ticket!$B:$B, MATCH($A22, ticket!$E:$E, 0)), "")</f>
        <v/>
      </c>
    </row>
    <row r="23" spans="4:4" x14ac:dyDescent="0.3">
      <c r="D23" t="str">
        <f>IFERROR(INDEX(ticket!$B:$B, MATCH($A23, ticket!$E:$E, 0)),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Mannem Sravanthi</dc:creator>
  <cp:lastModifiedBy>Mannem Sravanthi</cp:lastModifiedBy>
  <dcterms:created xsi:type="dcterms:W3CDTF">2025-12-02T16:28:34Z</dcterms:created>
  <dcterms:modified xsi:type="dcterms:W3CDTF">2025-12-02T16:49:12Z</dcterms:modified>
</cp:coreProperties>
</file>